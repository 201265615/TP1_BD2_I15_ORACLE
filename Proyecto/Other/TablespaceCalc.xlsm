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0010\0010\"/>
    </mc:Choice>
  </mc:AlternateContent>
  <bookViews>
    <workbookView xWindow="0" yWindow="0" windowWidth="15345" windowHeight="46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4" i="1" l="1"/>
  <c r="Z45" i="1"/>
  <c r="Z46" i="1"/>
  <c r="W45" i="1"/>
  <c r="W46" i="1"/>
  <c r="W44" i="1"/>
  <c r="Z37" i="1"/>
  <c r="V7" i="1" l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6" i="1"/>
  <c r="T8" i="1"/>
  <c r="T7" i="1"/>
  <c r="T36" i="1"/>
  <c r="T37" i="1"/>
  <c r="T38" i="1"/>
  <c r="T39" i="1"/>
  <c r="T40" i="1"/>
  <c r="T35" i="1"/>
  <c r="T45" i="1"/>
  <c r="V45" i="1"/>
  <c r="W8" i="1"/>
  <c r="W7" i="1"/>
  <c r="W11" i="1"/>
  <c r="W15" i="1"/>
  <c r="W19" i="1"/>
  <c r="W23" i="1"/>
  <c r="W27" i="1"/>
  <c r="W31" i="1"/>
  <c r="W35" i="1"/>
  <c r="W39" i="1"/>
  <c r="T44" i="1"/>
  <c r="T46" i="1"/>
  <c r="V46" i="1"/>
  <c r="V44" i="1"/>
  <c r="W9" i="1"/>
  <c r="W13" i="1"/>
  <c r="W17" i="1"/>
  <c r="W21" i="1"/>
  <c r="W25" i="1"/>
  <c r="W29" i="1"/>
  <c r="W33" i="1"/>
  <c r="W37" i="1"/>
  <c r="Y7" i="1" l="1"/>
  <c r="Z7" i="1" s="1"/>
  <c r="Y8" i="1"/>
  <c r="Z8" i="1" s="1"/>
  <c r="Y39" i="1"/>
  <c r="Y37" i="1"/>
  <c r="Y35" i="1"/>
  <c r="Z35" i="1" s="1"/>
  <c r="Y33" i="1"/>
  <c r="Y31" i="1"/>
  <c r="Y29" i="1"/>
  <c r="Y27" i="1"/>
  <c r="Y25" i="1"/>
  <c r="Y23" i="1"/>
  <c r="Y21" i="1"/>
  <c r="Y19" i="1"/>
  <c r="Y17" i="1"/>
  <c r="Y15" i="1"/>
  <c r="Y13" i="1"/>
  <c r="Y11" i="1"/>
  <c r="Y9" i="1"/>
  <c r="W12" i="1"/>
  <c r="W16" i="1"/>
  <c r="W20" i="1"/>
  <c r="W24" i="1"/>
  <c r="W28" i="1"/>
  <c r="W32" i="1"/>
  <c r="W36" i="1"/>
  <c r="W40" i="1"/>
  <c r="W10" i="1"/>
  <c r="W14" i="1"/>
  <c r="W18" i="1"/>
  <c r="W22" i="1"/>
  <c r="W26" i="1"/>
  <c r="W30" i="1"/>
  <c r="W34" i="1"/>
  <c r="W38" i="1"/>
  <c r="W6" i="1"/>
  <c r="Y6" i="1" l="1"/>
  <c r="Y40" i="1"/>
  <c r="Y38" i="1"/>
  <c r="Y36" i="1"/>
  <c r="Z36" i="1" s="1"/>
  <c r="Y34" i="1"/>
  <c r="Y32" i="1"/>
  <c r="Y30" i="1"/>
  <c r="Y28" i="1"/>
  <c r="Y26" i="1"/>
  <c r="Y24" i="1"/>
  <c r="Y22" i="1"/>
  <c r="Y20" i="1"/>
  <c r="Y18" i="1"/>
  <c r="Y16" i="1"/>
  <c r="Y14" i="1"/>
  <c r="Y12" i="1"/>
  <c r="Y10" i="1"/>
  <c r="T9" i="1"/>
  <c r="Z9" i="1" s="1"/>
  <c r="T10" i="1"/>
  <c r="Z10" i="1" s="1"/>
  <c r="T11" i="1"/>
  <c r="Z11" i="1" s="1"/>
  <c r="T12" i="1"/>
  <c r="T13" i="1"/>
  <c r="Z13" i="1" s="1"/>
  <c r="T14" i="1"/>
  <c r="Z14" i="1" s="1"/>
  <c r="T15" i="1"/>
  <c r="Z15" i="1" s="1"/>
  <c r="T16" i="1"/>
  <c r="T17" i="1"/>
  <c r="Z17" i="1" s="1"/>
  <c r="T18" i="1"/>
  <c r="Z18" i="1" s="1"/>
  <c r="T19" i="1"/>
  <c r="Z19" i="1" s="1"/>
  <c r="T20" i="1"/>
  <c r="T21" i="1"/>
  <c r="Z21" i="1" s="1"/>
  <c r="T22" i="1"/>
  <c r="Z22" i="1" s="1"/>
  <c r="T23" i="1"/>
  <c r="Z23" i="1" s="1"/>
  <c r="T24" i="1"/>
  <c r="T25" i="1"/>
  <c r="Z25" i="1" s="1"/>
  <c r="T26" i="1"/>
  <c r="Z26" i="1" s="1"/>
  <c r="T27" i="1"/>
  <c r="Z27" i="1" s="1"/>
  <c r="T28" i="1"/>
  <c r="T29" i="1"/>
  <c r="Z29" i="1" s="1"/>
  <c r="T30" i="1"/>
  <c r="Z30" i="1" s="1"/>
  <c r="T31" i="1"/>
  <c r="Z31" i="1" s="1"/>
  <c r="T32" i="1"/>
  <c r="T33" i="1"/>
  <c r="Z33" i="1" s="1"/>
  <c r="T34" i="1"/>
  <c r="Z34" i="1" s="1"/>
  <c r="T6" i="1"/>
  <c r="Z6" i="1" s="1"/>
  <c r="Z32" i="1" l="1"/>
  <c r="Z28" i="1"/>
  <c r="Z24" i="1"/>
  <c r="Z20" i="1"/>
  <c r="Z16" i="1"/>
  <c r="Z12" i="1"/>
</calcChain>
</file>

<file path=xl/sharedStrings.xml><?xml version="1.0" encoding="utf-8"?>
<sst xmlns="http://schemas.openxmlformats.org/spreadsheetml/2006/main" count="77" uniqueCount="60">
  <si>
    <t>tipoUsuarios</t>
  </si>
  <si>
    <t>Longitud de campos de 1 fila (en bytes)</t>
  </si>
  <si>
    <t>Nombre de tabla</t>
  </si>
  <si>
    <t>permisoUsuarios</t>
  </si>
  <si>
    <t>lineasFacturaCompras</t>
  </si>
  <si>
    <t>facturaCompras</t>
  </si>
  <si>
    <t>usuarios</t>
  </si>
  <si>
    <t>bitacora</t>
  </si>
  <si>
    <t>tipoErrores</t>
  </si>
  <si>
    <t>componentes</t>
  </si>
  <si>
    <t>marcas</t>
  </si>
  <si>
    <t>articuloEstados</t>
  </si>
  <si>
    <t>articulos</t>
  </si>
  <si>
    <t>XXX</t>
  </si>
  <si>
    <t>Total bytes 
de cada fila</t>
  </si>
  <si>
    <t>familia</t>
  </si>
  <si>
    <t>unidadMedidas</t>
  </si>
  <si>
    <t>articulosCotizacion</t>
  </si>
  <si>
    <t>listaPrecioXArticulos</t>
  </si>
  <si>
    <t>ProyeccionesListaPrecios</t>
  </si>
  <si>
    <t>mesAnio</t>
  </si>
  <si>
    <t>indiceEconomico</t>
  </si>
  <si>
    <t>listaPrecios</t>
  </si>
  <si>
    <t>monedas</t>
  </si>
  <si>
    <t>tipoCambios</t>
  </si>
  <si>
    <t>estadoTipoCambios</t>
  </si>
  <si>
    <t>cotizaciones</t>
  </si>
  <si>
    <t>cotizacionEstado</t>
  </si>
  <si>
    <t>empresa</t>
  </si>
  <si>
    <t>contacto</t>
  </si>
  <si>
    <t>tipoContacto</t>
  </si>
  <si>
    <t>detalleDireccion</t>
  </si>
  <si>
    <t>ciudades</t>
  </si>
  <si>
    <t>provincias</t>
  </si>
  <si>
    <t>paises</t>
  </si>
  <si>
    <t>tipoEmpresa</t>
  </si>
  <si>
    <t>% uso de
campos variables</t>
  </si>
  <si>
    <t>Total bytes de campos variables</t>
  </si>
  <si>
    <t>Campos 
variables</t>
  </si>
  <si>
    <t>PCTFree</t>
  </si>
  <si>
    <t>Tablespaces</t>
  </si>
  <si>
    <t>Color</t>
  </si>
  <si>
    <t>Initial</t>
  </si>
  <si>
    <t>Next</t>
  </si>
  <si>
    <t>Min Ext.</t>
  </si>
  <si>
    <t>Max Ext.</t>
  </si>
  <si>
    <t>PCT Inc.</t>
  </si>
  <si>
    <t>no limite</t>
  </si>
  <si>
    <t>Num. Reg. primera inserción</t>
  </si>
  <si>
    <t>Total bytes primera inserción</t>
  </si>
  <si>
    <t>Suma 
(Inserción Inicial)</t>
  </si>
  <si>
    <t>Bytes insertados por 1 fila en cada tabla</t>
  </si>
  <si>
    <t>Promedio
 PCTFree</t>
  </si>
  <si>
    <t>Suma (Inserción 
proyectada 1 año)</t>
  </si>
  <si>
    <t>165k</t>
  </si>
  <si>
    <t>195k</t>
  </si>
  <si>
    <t>240k</t>
  </si>
  <si>
    <t>100k</t>
  </si>
  <si>
    <t>90k</t>
  </si>
  <si>
    <t>120k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</si>
</sst>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Z46"/>
  <sheetViews>
    <sheetView tabSelected="1" topLeftCell="B31" workbookViewId="0">
      <selection activeCell="M46" sqref="M46:N46"/>
    </sheetView>
  </sheetViews>
  <sheetFormatPr defaultRowHeight="15" x14ac:dyDescent="0.25"/>
  <cols>
    <col min="2" max="2" width="34.85546875" customWidth="1"/>
    <col min="3" max="18" width="4.42578125" bestFit="1" customWidth="1"/>
    <col min="20" max="23" width="11" customWidth="1"/>
    <col min="26" max="26" width="12" bestFit="1" customWidth="1"/>
  </cols>
  <sheetData>
    <row r="2" spans="2:26" x14ac:dyDescent="0.25">
      <c r="C2" s="3"/>
    </row>
    <row r="4" spans="2:26" ht="66" customHeight="1" x14ac:dyDescent="0.25">
      <c r="B4" t="s">
        <v>2</v>
      </c>
      <c r="C4" s="9" t="s">
        <v>1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2" t="s">
        <v>14</v>
      </c>
      <c r="U4" s="2" t="s">
        <v>48</v>
      </c>
      <c r="V4" s="2" t="s">
        <v>49</v>
      </c>
      <c r="W4" s="2" t="s">
        <v>37</v>
      </c>
      <c r="X4" s="2" t="s">
        <v>36</v>
      </c>
      <c r="Y4" s="2" t="s">
        <v>38</v>
      </c>
      <c r="Z4" s="2" t="s">
        <v>39</v>
      </c>
    </row>
    <row r="5" spans="2:26" x14ac:dyDescent="0.25">
      <c r="C5" s="1" t="s">
        <v>13</v>
      </c>
      <c r="D5" s="1" t="s">
        <v>13</v>
      </c>
      <c r="E5" s="1" t="s">
        <v>13</v>
      </c>
      <c r="F5" s="1" t="s">
        <v>13</v>
      </c>
      <c r="G5" s="1" t="s">
        <v>13</v>
      </c>
      <c r="H5" s="1" t="s">
        <v>13</v>
      </c>
      <c r="I5" s="1" t="s">
        <v>13</v>
      </c>
      <c r="J5" s="1" t="s">
        <v>13</v>
      </c>
      <c r="K5" s="1" t="s">
        <v>13</v>
      </c>
      <c r="L5" s="1" t="s">
        <v>13</v>
      </c>
      <c r="M5" s="1" t="s">
        <v>13</v>
      </c>
      <c r="N5" s="1" t="s">
        <v>13</v>
      </c>
      <c r="O5" s="1" t="s">
        <v>13</v>
      </c>
      <c r="P5" s="1" t="s">
        <v>13</v>
      </c>
      <c r="Q5" s="1" t="s">
        <v>13</v>
      </c>
      <c r="R5" s="1" t="s">
        <v>13</v>
      </c>
      <c r="S5" s="1"/>
    </row>
    <row r="6" spans="2:26" x14ac:dyDescent="0.25">
      <c r="B6" s="6" t="s">
        <v>0</v>
      </c>
      <c r="C6">
        <v>3</v>
      </c>
      <c r="D6">
        <v>3</v>
      </c>
      <c r="E6" s="3">
        <v>20</v>
      </c>
      <c r="T6" s="4">
        <f>SUM(C6:S6)</f>
        <v>26</v>
      </c>
      <c r="U6" s="4">
        <v>2</v>
      </c>
      <c r="V6" s="4">
        <f>PRODUCT(T6,U6)</f>
        <v>52</v>
      </c>
      <c r="W6" s="5">
        <f>sumColor($C$2,C6:S6)</f>
        <v>20</v>
      </c>
      <c r="X6">
        <v>85</v>
      </c>
      <c r="Y6">
        <f>W6*(X6/100)</f>
        <v>17</v>
      </c>
      <c r="Z6" s="4">
        <f>(T6-(T6-Y6))/T6</f>
        <v>0.65384615384615385</v>
      </c>
    </row>
    <row r="7" spans="2:26" x14ac:dyDescent="0.25">
      <c r="B7" s="6" t="s">
        <v>3</v>
      </c>
      <c r="C7">
        <v>3</v>
      </c>
      <c r="D7" s="3">
        <v>20</v>
      </c>
      <c r="T7" s="4">
        <f t="shared" ref="T7:T40" si="0">SUM(C7:S7)</f>
        <v>23</v>
      </c>
      <c r="U7" s="4">
        <v>2</v>
      </c>
      <c r="V7" s="4">
        <f t="shared" ref="V7:V37" si="1">PRODUCT(T7,U7)</f>
        <v>46</v>
      </c>
      <c r="W7" s="5">
        <f t="shared" ref="W7:W40" si="2">sumColor($C$2,C7:S7)</f>
        <v>20</v>
      </c>
      <c r="X7">
        <v>80</v>
      </c>
      <c r="Y7">
        <f t="shared" ref="Y7:Y40" si="3">W7*(X7/100)</f>
        <v>16</v>
      </c>
      <c r="Z7" s="4">
        <f t="shared" ref="Z7:Z37" si="4">(T7-(T7-Y7))/T7</f>
        <v>0.69565217391304346</v>
      </c>
    </row>
    <row r="8" spans="2:26" x14ac:dyDescent="0.25">
      <c r="B8" s="8" t="s">
        <v>4</v>
      </c>
      <c r="C8">
        <v>10</v>
      </c>
      <c r="D8" s="5">
        <v>20</v>
      </c>
      <c r="E8" s="3">
        <v>20</v>
      </c>
      <c r="F8">
        <v>10</v>
      </c>
      <c r="T8" s="8">
        <f t="shared" si="0"/>
        <v>60</v>
      </c>
      <c r="U8" s="8">
        <v>0</v>
      </c>
      <c r="V8" s="8">
        <f t="shared" si="1"/>
        <v>0</v>
      </c>
      <c r="W8" s="5">
        <f t="shared" si="2"/>
        <v>20</v>
      </c>
      <c r="X8">
        <v>70</v>
      </c>
      <c r="Y8">
        <f t="shared" si="3"/>
        <v>14</v>
      </c>
      <c r="Z8" s="8">
        <f t="shared" si="4"/>
        <v>0.23333333333333334</v>
      </c>
    </row>
    <row r="9" spans="2:26" x14ac:dyDescent="0.25">
      <c r="B9" s="8" t="s">
        <v>5</v>
      </c>
      <c r="C9">
        <v>10</v>
      </c>
      <c r="D9">
        <v>7</v>
      </c>
      <c r="E9">
        <v>7</v>
      </c>
      <c r="F9">
        <v>10</v>
      </c>
      <c r="T9" s="8">
        <f t="shared" si="0"/>
        <v>34</v>
      </c>
      <c r="U9" s="8">
        <v>0</v>
      </c>
      <c r="V9" s="8">
        <f t="shared" si="1"/>
        <v>0</v>
      </c>
      <c r="W9" s="5">
        <f t="shared" si="2"/>
        <v>0</v>
      </c>
      <c r="X9">
        <v>0</v>
      </c>
      <c r="Y9">
        <f t="shared" si="3"/>
        <v>0</v>
      </c>
      <c r="Z9" s="8">
        <f t="shared" si="4"/>
        <v>0</v>
      </c>
    </row>
    <row r="10" spans="2:26" x14ac:dyDescent="0.25">
      <c r="B10" s="6" t="s">
        <v>6</v>
      </c>
      <c r="C10">
        <v>10</v>
      </c>
      <c r="D10">
        <v>10</v>
      </c>
      <c r="E10">
        <v>3</v>
      </c>
      <c r="T10" s="4">
        <f>SUM(C10:S10)</f>
        <v>23</v>
      </c>
      <c r="U10" s="4">
        <v>1</v>
      </c>
      <c r="V10" s="4">
        <f t="shared" si="1"/>
        <v>23</v>
      </c>
      <c r="W10" s="5">
        <f>sumColor($C$2,C10:S10)</f>
        <v>0</v>
      </c>
      <c r="X10">
        <v>0</v>
      </c>
      <c r="Y10">
        <f>W10*(X10/100)</f>
        <v>0</v>
      </c>
      <c r="Z10" s="4">
        <f>(T10-(T10-Y10))/T10</f>
        <v>0</v>
      </c>
    </row>
    <row r="11" spans="2:26" x14ac:dyDescent="0.25">
      <c r="B11" s="8" t="s">
        <v>7</v>
      </c>
      <c r="C11">
        <v>10</v>
      </c>
      <c r="D11">
        <v>10</v>
      </c>
      <c r="E11">
        <v>3</v>
      </c>
      <c r="F11">
        <v>7</v>
      </c>
      <c r="T11" s="8">
        <f t="shared" si="0"/>
        <v>30</v>
      </c>
      <c r="U11" s="8">
        <v>0</v>
      </c>
      <c r="V11" s="8">
        <f t="shared" si="1"/>
        <v>0</v>
      </c>
      <c r="W11" s="5">
        <f t="shared" si="2"/>
        <v>0</v>
      </c>
      <c r="X11">
        <v>0</v>
      </c>
      <c r="Y11">
        <f t="shared" si="3"/>
        <v>0</v>
      </c>
      <c r="Z11" s="8">
        <f t="shared" si="4"/>
        <v>0</v>
      </c>
    </row>
    <row r="12" spans="2:26" x14ac:dyDescent="0.25">
      <c r="B12" s="6" t="s">
        <v>8</v>
      </c>
      <c r="C12">
        <v>3</v>
      </c>
      <c r="D12">
        <v>15</v>
      </c>
      <c r="T12" s="4">
        <f t="shared" si="0"/>
        <v>18</v>
      </c>
      <c r="U12" s="4">
        <v>5</v>
      </c>
      <c r="V12" s="4">
        <f t="shared" si="1"/>
        <v>90</v>
      </c>
      <c r="W12" s="5">
        <f t="shared" si="2"/>
        <v>0</v>
      </c>
      <c r="X12">
        <v>0</v>
      </c>
      <c r="Y12">
        <f t="shared" si="3"/>
        <v>0</v>
      </c>
      <c r="Z12" s="4">
        <f t="shared" si="4"/>
        <v>0</v>
      </c>
    </row>
    <row r="13" spans="2:26" x14ac:dyDescent="0.25">
      <c r="B13" s="7" t="s">
        <v>9</v>
      </c>
      <c r="C13">
        <v>20</v>
      </c>
      <c r="D13">
        <v>20</v>
      </c>
      <c r="T13" s="7">
        <f t="shared" si="0"/>
        <v>40</v>
      </c>
      <c r="U13" s="7">
        <v>10</v>
      </c>
      <c r="V13" s="7">
        <f t="shared" si="1"/>
        <v>400</v>
      </c>
      <c r="W13" s="5">
        <f t="shared" si="2"/>
        <v>0</v>
      </c>
      <c r="X13">
        <v>0</v>
      </c>
      <c r="Y13">
        <f t="shared" si="3"/>
        <v>0</v>
      </c>
      <c r="Z13" s="7">
        <f t="shared" si="4"/>
        <v>0</v>
      </c>
    </row>
    <row r="14" spans="2:26" x14ac:dyDescent="0.25">
      <c r="B14" s="6" t="s">
        <v>10</v>
      </c>
      <c r="C14">
        <v>3</v>
      </c>
      <c r="D14" s="3">
        <v>20</v>
      </c>
      <c r="T14" s="4">
        <f t="shared" si="0"/>
        <v>23</v>
      </c>
      <c r="U14" s="4">
        <v>10</v>
      </c>
      <c r="V14" s="4">
        <f t="shared" si="1"/>
        <v>230</v>
      </c>
      <c r="W14" s="5">
        <f t="shared" si="2"/>
        <v>20</v>
      </c>
      <c r="X14">
        <v>80</v>
      </c>
      <c r="Y14">
        <f t="shared" si="3"/>
        <v>16</v>
      </c>
      <c r="Z14" s="4">
        <f t="shared" si="4"/>
        <v>0.69565217391304346</v>
      </c>
    </row>
    <row r="15" spans="2:26" x14ac:dyDescent="0.25">
      <c r="B15" s="6" t="s">
        <v>11</v>
      </c>
      <c r="C15">
        <v>3</v>
      </c>
      <c r="D15" s="3">
        <v>20</v>
      </c>
      <c r="T15" s="4">
        <f t="shared" si="0"/>
        <v>23</v>
      </c>
      <c r="U15" s="4">
        <v>3</v>
      </c>
      <c r="V15" s="4">
        <f t="shared" si="1"/>
        <v>69</v>
      </c>
      <c r="W15" s="5">
        <f t="shared" si="2"/>
        <v>20</v>
      </c>
      <c r="X15">
        <v>50</v>
      </c>
      <c r="Y15">
        <f t="shared" si="3"/>
        <v>10</v>
      </c>
      <c r="Z15" s="4">
        <f t="shared" si="4"/>
        <v>0.43478260869565216</v>
      </c>
    </row>
    <row r="16" spans="2:26" x14ac:dyDescent="0.25">
      <c r="B16" s="7" t="s">
        <v>12</v>
      </c>
      <c r="C16">
        <v>20</v>
      </c>
      <c r="D16" s="3">
        <v>40</v>
      </c>
      <c r="E16">
        <v>3</v>
      </c>
      <c r="F16">
        <v>3</v>
      </c>
      <c r="G16">
        <v>15</v>
      </c>
      <c r="H16">
        <v>7</v>
      </c>
      <c r="I16">
        <v>3</v>
      </c>
      <c r="J16">
        <v>3</v>
      </c>
      <c r="K16">
        <v>10</v>
      </c>
      <c r="L16">
        <v>10</v>
      </c>
      <c r="M16">
        <v>10</v>
      </c>
      <c r="N16">
        <v>10</v>
      </c>
      <c r="O16" s="3">
        <v>20</v>
      </c>
      <c r="P16">
        <v>7</v>
      </c>
      <c r="T16" s="7">
        <f t="shared" si="0"/>
        <v>161</v>
      </c>
      <c r="U16" s="7">
        <v>30</v>
      </c>
      <c r="V16" s="7">
        <f t="shared" si="1"/>
        <v>4830</v>
      </c>
      <c r="W16" s="5">
        <f t="shared" si="2"/>
        <v>60</v>
      </c>
      <c r="X16">
        <v>85</v>
      </c>
      <c r="Y16">
        <f t="shared" si="3"/>
        <v>51</v>
      </c>
      <c r="Z16" s="7">
        <f t="shared" si="4"/>
        <v>0.31677018633540371</v>
      </c>
    </row>
    <row r="17" spans="2:26" x14ac:dyDescent="0.25">
      <c r="B17" s="6" t="s">
        <v>15</v>
      </c>
      <c r="C17">
        <v>3</v>
      </c>
      <c r="D17" s="3">
        <v>40</v>
      </c>
      <c r="E17">
        <v>10</v>
      </c>
      <c r="F17">
        <v>20</v>
      </c>
      <c r="T17" s="4">
        <f t="shared" si="0"/>
        <v>73</v>
      </c>
      <c r="U17" s="4">
        <v>10</v>
      </c>
      <c r="V17" s="4">
        <f t="shared" si="1"/>
        <v>730</v>
      </c>
      <c r="W17" s="5">
        <f t="shared" si="2"/>
        <v>40</v>
      </c>
      <c r="X17">
        <v>70</v>
      </c>
      <c r="Y17">
        <f t="shared" si="3"/>
        <v>28</v>
      </c>
      <c r="Z17" s="4">
        <f t="shared" si="4"/>
        <v>0.38356164383561642</v>
      </c>
    </row>
    <row r="18" spans="2:26" x14ac:dyDescent="0.25">
      <c r="B18" s="6" t="s">
        <v>16</v>
      </c>
      <c r="C18">
        <v>3</v>
      </c>
      <c r="D18" s="3">
        <v>40</v>
      </c>
      <c r="T18" s="4">
        <f t="shared" si="0"/>
        <v>43</v>
      </c>
      <c r="U18" s="4">
        <v>5</v>
      </c>
      <c r="V18" s="4">
        <f t="shared" si="1"/>
        <v>215</v>
      </c>
      <c r="W18" s="5">
        <f t="shared" si="2"/>
        <v>40</v>
      </c>
      <c r="X18">
        <v>0</v>
      </c>
      <c r="Y18">
        <f t="shared" si="3"/>
        <v>0</v>
      </c>
      <c r="Z18" s="4">
        <f t="shared" si="4"/>
        <v>0</v>
      </c>
    </row>
    <row r="19" spans="2:26" x14ac:dyDescent="0.25">
      <c r="B19" s="8" t="s">
        <v>17</v>
      </c>
      <c r="C19">
        <v>10</v>
      </c>
      <c r="D19">
        <v>20</v>
      </c>
      <c r="E19">
        <v>3</v>
      </c>
      <c r="F19" s="3">
        <v>10</v>
      </c>
      <c r="G19">
        <v>2</v>
      </c>
      <c r="H19" s="3">
        <v>20</v>
      </c>
      <c r="I19" s="3">
        <v>20</v>
      </c>
      <c r="J19" s="3">
        <v>20</v>
      </c>
      <c r="T19" s="8">
        <f t="shared" si="0"/>
        <v>105</v>
      </c>
      <c r="U19" s="8">
        <v>0</v>
      </c>
      <c r="V19" s="8">
        <f t="shared" si="1"/>
        <v>0</v>
      </c>
      <c r="W19" s="5">
        <f t="shared" si="2"/>
        <v>70</v>
      </c>
      <c r="X19">
        <v>85</v>
      </c>
      <c r="Y19">
        <f t="shared" si="3"/>
        <v>59.5</v>
      </c>
      <c r="Z19" s="8">
        <f t="shared" si="4"/>
        <v>0.56666666666666665</v>
      </c>
    </row>
    <row r="20" spans="2:26" x14ac:dyDescent="0.25">
      <c r="B20" s="7" t="s">
        <v>18</v>
      </c>
      <c r="C20">
        <v>3</v>
      </c>
      <c r="D20">
        <v>20</v>
      </c>
      <c r="T20" s="7">
        <f t="shared" si="0"/>
        <v>23</v>
      </c>
      <c r="U20" s="7">
        <v>5</v>
      </c>
      <c r="V20" s="7">
        <f t="shared" si="1"/>
        <v>115</v>
      </c>
      <c r="W20" s="5">
        <f t="shared" si="2"/>
        <v>0</v>
      </c>
      <c r="X20">
        <v>0</v>
      </c>
      <c r="Y20">
        <f t="shared" si="3"/>
        <v>0</v>
      </c>
      <c r="Z20" s="7">
        <f t="shared" si="4"/>
        <v>0</v>
      </c>
    </row>
    <row r="21" spans="2:26" x14ac:dyDescent="0.25">
      <c r="B21" s="8" t="s">
        <v>19</v>
      </c>
      <c r="C21">
        <v>20</v>
      </c>
      <c r="D21">
        <v>3</v>
      </c>
      <c r="E21">
        <v>2</v>
      </c>
      <c r="F21">
        <v>4</v>
      </c>
      <c r="G21" s="3">
        <v>20</v>
      </c>
      <c r="H21" s="3">
        <v>20</v>
      </c>
      <c r="T21" s="8">
        <f t="shared" si="0"/>
        <v>69</v>
      </c>
      <c r="U21" s="8">
        <v>0</v>
      </c>
      <c r="V21" s="8">
        <f t="shared" si="1"/>
        <v>0</v>
      </c>
      <c r="W21" s="5">
        <f t="shared" si="2"/>
        <v>40</v>
      </c>
      <c r="X21">
        <v>75</v>
      </c>
      <c r="Y21">
        <f t="shared" si="3"/>
        <v>30</v>
      </c>
      <c r="Z21" s="8">
        <f t="shared" si="4"/>
        <v>0.43478260869565216</v>
      </c>
    </row>
    <row r="22" spans="2:26" x14ac:dyDescent="0.25">
      <c r="B22" s="7" t="s">
        <v>20</v>
      </c>
      <c r="C22">
        <v>2</v>
      </c>
      <c r="D22">
        <v>4</v>
      </c>
      <c r="T22" s="7">
        <f t="shared" si="0"/>
        <v>6</v>
      </c>
      <c r="U22" s="7">
        <v>100</v>
      </c>
      <c r="V22" s="7">
        <f t="shared" si="1"/>
        <v>600</v>
      </c>
      <c r="W22" s="5">
        <f t="shared" si="2"/>
        <v>0</v>
      </c>
      <c r="X22">
        <v>0</v>
      </c>
      <c r="Y22">
        <f t="shared" si="3"/>
        <v>0</v>
      </c>
      <c r="Z22" s="7">
        <f t="shared" si="4"/>
        <v>0</v>
      </c>
    </row>
    <row r="23" spans="2:26" x14ac:dyDescent="0.25">
      <c r="B23" s="7" t="s">
        <v>21</v>
      </c>
      <c r="C23">
        <v>20</v>
      </c>
      <c r="D23" s="3">
        <v>40</v>
      </c>
      <c r="E23">
        <v>10</v>
      </c>
      <c r="F23">
        <v>10</v>
      </c>
      <c r="T23" s="7">
        <f t="shared" si="0"/>
        <v>80</v>
      </c>
      <c r="U23" s="7">
        <v>5</v>
      </c>
      <c r="V23" s="7">
        <f t="shared" si="1"/>
        <v>400</v>
      </c>
      <c r="W23" s="5">
        <f t="shared" si="2"/>
        <v>40</v>
      </c>
      <c r="X23">
        <v>85</v>
      </c>
      <c r="Y23">
        <f t="shared" si="3"/>
        <v>34</v>
      </c>
      <c r="Z23" s="7">
        <f t="shared" si="4"/>
        <v>0.42499999999999999</v>
      </c>
    </row>
    <row r="24" spans="2:26" x14ac:dyDescent="0.25">
      <c r="B24" s="6" t="s">
        <v>22</v>
      </c>
      <c r="C24">
        <v>3</v>
      </c>
      <c r="D24" s="3">
        <v>40</v>
      </c>
      <c r="E24">
        <v>3</v>
      </c>
      <c r="F24">
        <v>3</v>
      </c>
      <c r="G24">
        <v>3</v>
      </c>
      <c r="T24" s="4">
        <f t="shared" si="0"/>
        <v>52</v>
      </c>
      <c r="U24" s="4">
        <v>5</v>
      </c>
      <c r="V24" s="4">
        <f t="shared" si="1"/>
        <v>260</v>
      </c>
      <c r="W24" s="5">
        <f t="shared" si="2"/>
        <v>40</v>
      </c>
      <c r="X24">
        <v>85</v>
      </c>
      <c r="Y24">
        <f t="shared" si="3"/>
        <v>34</v>
      </c>
      <c r="Z24" s="4">
        <f t="shared" si="4"/>
        <v>0.65384615384615385</v>
      </c>
    </row>
    <row r="25" spans="2:26" x14ac:dyDescent="0.25">
      <c r="B25" s="6" t="s">
        <v>23</v>
      </c>
      <c r="C25">
        <v>3</v>
      </c>
      <c r="D25" s="3">
        <v>10</v>
      </c>
      <c r="T25" s="4">
        <f t="shared" si="0"/>
        <v>13</v>
      </c>
      <c r="U25" s="4">
        <v>5</v>
      </c>
      <c r="V25" s="4">
        <f t="shared" si="1"/>
        <v>65</v>
      </c>
      <c r="W25" s="5">
        <f t="shared" si="2"/>
        <v>10</v>
      </c>
      <c r="X25">
        <v>90</v>
      </c>
      <c r="Y25">
        <f t="shared" si="3"/>
        <v>9</v>
      </c>
      <c r="Z25" s="4">
        <f t="shared" si="4"/>
        <v>0.69230769230769229</v>
      </c>
    </row>
    <row r="26" spans="2:26" x14ac:dyDescent="0.25">
      <c r="B26" s="8" t="s">
        <v>24</v>
      </c>
      <c r="C26">
        <v>3</v>
      </c>
      <c r="D26">
        <v>3</v>
      </c>
      <c r="E26" s="3">
        <v>20</v>
      </c>
      <c r="F26">
        <v>20</v>
      </c>
      <c r="G26">
        <v>3</v>
      </c>
      <c r="H26">
        <v>2</v>
      </c>
      <c r="I26">
        <v>4</v>
      </c>
      <c r="T26" s="8">
        <f t="shared" si="0"/>
        <v>55</v>
      </c>
      <c r="U26" s="8">
        <v>100</v>
      </c>
      <c r="V26" s="8">
        <f t="shared" si="1"/>
        <v>5500</v>
      </c>
      <c r="W26" s="5">
        <f t="shared" si="2"/>
        <v>20</v>
      </c>
      <c r="X26">
        <v>85</v>
      </c>
      <c r="Y26">
        <f t="shared" si="3"/>
        <v>17</v>
      </c>
      <c r="Z26" s="8">
        <f t="shared" si="4"/>
        <v>0.30909090909090908</v>
      </c>
    </row>
    <row r="27" spans="2:26" x14ac:dyDescent="0.25">
      <c r="B27" s="6" t="s">
        <v>25</v>
      </c>
      <c r="C27">
        <v>3</v>
      </c>
      <c r="D27">
        <v>1</v>
      </c>
      <c r="T27" s="4">
        <f t="shared" si="0"/>
        <v>4</v>
      </c>
      <c r="U27" s="4">
        <v>2</v>
      </c>
      <c r="V27" s="4">
        <f t="shared" si="1"/>
        <v>8</v>
      </c>
      <c r="W27" s="5">
        <f t="shared" si="2"/>
        <v>0</v>
      </c>
      <c r="X27">
        <v>0</v>
      </c>
      <c r="Y27">
        <f t="shared" si="3"/>
        <v>0</v>
      </c>
      <c r="Z27" s="4">
        <f t="shared" si="4"/>
        <v>0</v>
      </c>
    </row>
    <row r="28" spans="2:26" x14ac:dyDescent="0.25">
      <c r="B28" s="8" t="s">
        <v>26</v>
      </c>
      <c r="C28">
        <v>10</v>
      </c>
      <c r="D28">
        <v>7</v>
      </c>
      <c r="E28">
        <v>10</v>
      </c>
      <c r="F28" s="3">
        <v>60</v>
      </c>
      <c r="G28" s="3">
        <v>60</v>
      </c>
      <c r="H28" s="3">
        <v>30</v>
      </c>
      <c r="I28" s="3">
        <v>100</v>
      </c>
      <c r="J28">
        <v>3</v>
      </c>
      <c r="K28">
        <v>3</v>
      </c>
      <c r="L28">
        <v>3</v>
      </c>
      <c r="M28">
        <v>2</v>
      </c>
      <c r="N28">
        <v>4</v>
      </c>
      <c r="T28" s="8">
        <f t="shared" si="0"/>
        <v>292</v>
      </c>
      <c r="U28" s="8">
        <v>0</v>
      </c>
      <c r="V28" s="8">
        <f t="shared" si="1"/>
        <v>0</v>
      </c>
      <c r="W28" s="5">
        <f t="shared" si="2"/>
        <v>250</v>
      </c>
      <c r="X28">
        <v>85</v>
      </c>
      <c r="Y28">
        <f t="shared" si="3"/>
        <v>212.5</v>
      </c>
      <c r="Z28" s="8">
        <f t="shared" si="4"/>
        <v>0.72773972602739723</v>
      </c>
    </row>
    <row r="29" spans="2:26" x14ac:dyDescent="0.25">
      <c r="B29" s="6" t="s">
        <v>27</v>
      </c>
      <c r="C29">
        <v>3</v>
      </c>
      <c r="D29" s="3">
        <v>20</v>
      </c>
      <c r="T29" s="4">
        <f t="shared" si="0"/>
        <v>23</v>
      </c>
      <c r="U29" s="4">
        <v>5</v>
      </c>
      <c r="V29" s="4">
        <f t="shared" si="1"/>
        <v>115</v>
      </c>
      <c r="W29" s="5">
        <f t="shared" si="2"/>
        <v>20</v>
      </c>
      <c r="X29">
        <v>90</v>
      </c>
      <c r="Y29">
        <f t="shared" si="3"/>
        <v>18</v>
      </c>
      <c r="Z29" s="4">
        <f t="shared" si="4"/>
        <v>0.78260869565217395</v>
      </c>
    </row>
    <row r="30" spans="2:26" x14ac:dyDescent="0.25">
      <c r="B30" s="7" t="s">
        <v>28</v>
      </c>
      <c r="C30">
        <v>10</v>
      </c>
      <c r="D30" s="3">
        <v>20</v>
      </c>
      <c r="E30">
        <v>3</v>
      </c>
      <c r="F30">
        <v>3</v>
      </c>
      <c r="T30" s="7">
        <f t="shared" si="0"/>
        <v>36</v>
      </c>
      <c r="U30" s="7">
        <v>20</v>
      </c>
      <c r="V30" s="7">
        <f t="shared" si="1"/>
        <v>720</v>
      </c>
      <c r="W30" s="5">
        <f t="shared" si="2"/>
        <v>20</v>
      </c>
      <c r="X30">
        <v>90</v>
      </c>
      <c r="Y30">
        <f t="shared" si="3"/>
        <v>18</v>
      </c>
      <c r="Z30" s="7">
        <f t="shared" si="4"/>
        <v>0.5</v>
      </c>
    </row>
    <row r="31" spans="2:26" x14ac:dyDescent="0.25">
      <c r="B31" s="7" t="s">
        <v>29</v>
      </c>
      <c r="C31">
        <v>3</v>
      </c>
      <c r="D31">
        <v>3</v>
      </c>
      <c r="E31" s="3">
        <v>50</v>
      </c>
      <c r="F31">
        <v>10</v>
      </c>
      <c r="T31" s="7">
        <f t="shared" si="0"/>
        <v>66</v>
      </c>
      <c r="U31" s="7">
        <v>20</v>
      </c>
      <c r="V31" s="7">
        <f t="shared" si="1"/>
        <v>1320</v>
      </c>
      <c r="W31" s="5">
        <f t="shared" si="2"/>
        <v>50</v>
      </c>
      <c r="X31">
        <v>85</v>
      </c>
      <c r="Y31">
        <f t="shared" si="3"/>
        <v>42.5</v>
      </c>
      <c r="Z31" s="7">
        <f t="shared" si="4"/>
        <v>0.64393939393939392</v>
      </c>
    </row>
    <row r="32" spans="2:26" x14ac:dyDescent="0.25">
      <c r="B32" s="6" t="s">
        <v>30</v>
      </c>
      <c r="C32">
        <v>3</v>
      </c>
      <c r="D32">
        <v>10</v>
      </c>
      <c r="T32" s="4">
        <f t="shared" si="0"/>
        <v>13</v>
      </c>
      <c r="U32" s="4">
        <v>3</v>
      </c>
      <c r="V32" s="4">
        <f t="shared" si="1"/>
        <v>39</v>
      </c>
      <c r="W32" s="5">
        <f t="shared" si="2"/>
        <v>0</v>
      </c>
      <c r="X32">
        <v>0</v>
      </c>
      <c r="Y32">
        <f t="shared" si="3"/>
        <v>0</v>
      </c>
      <c r="Z32" s="4">
        <f t="shared" si="4"/>
        <v>0</v>
      </c>
    </row>
    <row r="33" spans="2:26" x14ac:dyDescent="0.25">
      <c r="B33" s="7" t="s">
        <v>31</v>
      </c>
      <c r="C33">
        <v>3</v>
      </c>
      <c r="D33">
        <v>3</v>
      </c>
      <c r="E33" s="5">
        <v>10</v>
      </c>
      <c r="F33" s="3">
        <v>50</v>
      </c>
      <c r="G33" s="3">
        <v>50</v>
      </c>
      <c r="T33" s="7">
        <f t="shared" si="0"/>
        <v>116</v>
      </c>
      <c r="U33" s="7">
        <v>20</v>
      </c>
      <c r="V33" s="7">
        <f t="shared" si="1"/>
        <v>2320</v>
      </c>
      <c r="W33" s="5">
        <f t="shared" si="2"/>
        <v>100</v>
      </c>
      <c r="X33">
        <v>85</v>
      </c>
      <c r="Y33">
        <f t="shared" si="3"/>
        <v>85</v>
      </c>
      <c r="Z33" s="7">
        <f t="shared" si="4"/>
        <v>0.73275862068965514</v>
      </c>
    </row>
    <row r="34" spans="2:26" x14ac:dyDescent="0.25">
      <c r="B34" s="6" t="s">
        <v>32</v>
      </c>
      <c r="C34">
        <v>3</v>
      </c>
      <c r="D34">
        <v>3</v>
      </c>
      <c r="E34" s="3">
        <v>20</v>
      </c>
      <c r="T34" s="4">
        <f t="shared" si="0"/>
        <v>26</v>
      </c>
      <c r="U34" s="4">
        <v>20</v>
      </c>
      <c r="V34" s="4">
        <f t="shared" si="1"/>
        <v>520</v>
      </c>
      <c r="W34" s="5">
        <f t="shared" si="2"/>
        <v>20</v>
      </c>
      <c r="X34">
        <v>90</v>
      </c>
      <c r="Y34">
        <f t="shared" si="3"/>
        <v>18</v>
      </c>
      <c r="Z34" s="4">
        <f t="shared" si="4"/>
        <v>0.69230769230769229</v>
      </c>
    </row>
    <row r="35" spans="2:26" x14ac:dyDescent="0.25">
      <c r="B35" s="6" t="s">
        <v>33</v>
      </c>
      <c r="C35">
        <v>3</v>
      </c>
      <c r="D35">
        <v>3</v>
      </c>
      <c r="E35" s="3">
        <v>20</v>
      </c>
      <c r="T35" s="4">
        <f t="shared" si="0"/>
        <v>26</v>
      </c>
      <c r="U35" s="4">
        <v>7</v>
      </c>
      <c r="V35" s="4">
        <f t="shared" si="1"/>
        <v>182</v>
      </c>
      <c r="W35" s="5">
        <f t="shared" si="2"/>
        <v>20</v>
      </c>
      <c r="X35">
        <v>90</v>
      </c>
      <c r="Y35">
        <f t="shared" si="3"/>
        <v>18</v>
      </c>
      <c r="Z35" s="4">
        <f t="shared" si="4"/>
        <v>0.69230769230769229</v>
      </c>
    </row>
    <row r="36" spans="2:26" x14ac:dyDescent="0.25">
      <c r="B36" s="6" t="s">
        <v>34</v>
      </c>
      <c r="C36">
        <v>3</v>
      </c>
      <c r="D36" s="3">
        <v>10</v>
      </c>
      <c r="T36" s="4">
        <f t="shared" si="0"/>
        <v>13</v>
      </c>
      <c r="U36" s="4">
        <v>1</v>
      </c>
      <c r="V36" s="4">
        <f t="shared" si="1"/>
        <v>13</v>
      </c>
      <c r="W36" s="5">
        <f t="shared" si="2"/>
        <v>10</v>
      </c>
      <c r="X36">
        <v>90</v>
      </c>
      <c r="Y36">
        <f t="shared" si="3"/>
        <v>9</v>
      </c>
      <c r="Z36" s="4">
        <f t="shared" si="4"/>
        <v>0.69230769230769229</v>
      </c>
    </row>
    <row r="37" spans="2:26" x14ac:dyDescent="0.25">
      <c r="B37" s="6" t="s">
        <v>35</v>
      </c>
      <c r="C37">
        <v>3</v>
      </c>
      <c r="D37" s="3">
        <v>20</v>
      </c>
      <c r="T37" s="4">
        <f t="shared" si="0"/>
        <v>23</v>
      </c>
      <c r="U37" s="4">
        <v>2</v>
      </c>
      <c r="V37" s="4">
        <f t="shared" si="1"/>
        <v>46</v>
      </c>
      <c r="W37" s="5">
        <f t="shared" si="2"/>
        <v>20</v>
      </c>
      <c r="X37">
        <v>90</v>
      </c>
      <c r="Y37">
        <f t="shared" si="3"/>
        <v>18</v>
      </c>
      <c r="Z37" s="4">
        <f t="shared" si="4"/>
        <v>0.78260869565217395</v>
      </c>
    </row>
    <row r="38" spans="2:26" x14ac:dyDescent="0.25">
      <c r="T38">
        <f t="shared" si="0"/>
        <v>0</v>
      </c>
      <c r="W38">
        <f t="shared" si="2"/>
        <v>0</v>
      </c>
      <c r="X38">
        <v>0</v>
      </c>
      <c r="Y38">
        <f t="shared" si="3"/>
        <v>0</v>
      </c>
    </row>
    <row r="39" spans="2:26" x14ac:dyDescent="0.25">
      <c r="T39">
        <f t="shared" si="0"/>
        <v>0</v>
      </c>
      <c r="W39">
        <f t="shared" si="2"/>
        <v>0</v>
      </c>
      <c r="X39">
        <v>0</v>
      </c>
      <c r="Y39">
        <f t="shared" si="3"/>
        <v>0</v>
      </c>
    </row>
    <row r="40" spans="2:26" x14ac:dyDescent="0.25">
      <c r="T40">
        <f t="shared" si="0"/>
        <v>0</v>
      </c>
      <c r="W40">
        <f t="shared" si="2"/>
        <v>0</v>
      </c>
      <c r="X40">
        <v>0</v>
      </c>
      <c r="Y40">
        <f t="shared" si="3"/>
        <v>0</v>
      </c>
    </row>
    <row r="42" spans="2:26" x14ac:dyDescent="0.25">
      <c r="D42" s="9" t="s">
        <v>40</v>
      </c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spans="2:26" ht="75" x14ac:dyDescent="0.25">
      <c r="E43" s="9" t="s">
        <v>41</v>
      </c>
      <c r="F43" s="9"/>
      <c r="G43" s="9" t="s">
        <v>42</v>
      </c>
      <c r="H43" s="9"/>
      <c r="I43" s="9" t="s">
        <v>43</v>
      </c>
      <c r="J43" s="9"/>
      <c r="K43" s="9" t="s">
        <v>44</v>
      </c>
      <c r="L43" s="9"/>
      <c r="M43" s="9" t="s">
        <v>45</v>
      </c>
      <c r="N43" s="9"/>
      <c r="O43" s="9" t="s">
        <v>46</v>
      </c>
      <c r="P43" s="9"/>
      <c r="T43" s="2" t="s">
        <v>51</v>
      </c>
      <c r="V43" s="2" t="s">
        <v>50</v>
      </c>
      <c r="W43" s="10" t="s">
        <v>53</v>
      </c>
      <c r="X43" s="9"/>
      <c r="Z43" s="2" t="s">
        <v>52</v>
      </c>
    </row>
    <row r="44" spans="2:26" x14ac:dyDescent="0.25">
      <c r="E44" s="12"/>
      <c r="F44" s="12"/>
      <c r="G44" s="9" t="s">
        <v>54</v>
      </c>
      <c r="H44" s="9"/>
      <c r="I44" s="9" t="s">
        <v>58</v>
      </c>
      <c r="J44" s="9"/>
      <c r="K44" s="9">
        <v>1</v>
      </c>
      <c r="L44" s="9"/>
      <c r="M44" s="9" t="s">
        <v>47</v>
      </c>
      <c r="N44" s="9"/>
      <c r="O44" s="9">
        <v>0</v>
      </c>
      <c r="P44" s="9"/>
      <c r="T44">
        <f>sumColor(E44,T6:T37)</f>
        <v>445</v>
      </c>
      <c r="V44">
        <f>sumColor(E44,V6:V37)</f>
        <v>2703</v>
      </c>
      <c r="W44" s="9">
        <f>PRODUCT(T44*365)</f>
        <v>162425</v>
      </c>
      <c r="X44" s="9"/>
      <c r="Z44">
        <f>sumColor(E44,Z6:Z37)/17</f>
        <v>0.58823529411764708</v>
      </c>
    </row>
    <row r="45" spans="2:26" x14ac:dyDescent="0.25">
      <c r="E45" s="13"/>
      <c r="F45" s="13"/>
      <c r="G45" s="9" t="s">
        <v>55</v>
      </c>
      <c r="H45" s="9"/>
      <c r="I45" s="9" t="s">
        <v>57</v>
      </c>
      <c r="J45" s="9"/>
      <c r="K45" s="9">
        <v>1</v>
      </c>
      <c r="L45" s="9"/>
      <c r="M45" s="9" t="s">
        <v>47</v>
      </c>
      <c r="N45" s="9"/>
      <c r="O45" s="9">
        <v>0</v>
      </c>
      <c r="P45" s="9"/>
      <c r="T45">
        <f>sumColor(E45,T6:T37)</f>
        <v>528</v>
      </c>
      <c r="V45">
        <f>sumColor(E45,V6:V37)</f>
        <v>10705</v>
      </c>
      <c r="W45" s="9">
        <f t="shared" ref="W45:W46" si="5">PRODUCT(T45*365)</f>
        <v>192720</v>
      </c>
      <c r="X45" s="9"/>
      <c r="Z45">
        <f>sumColor(E45,Z6:Z37)/8</f>
        <v>0.25</v>
      </c>
    </row>
    <row r="46" spans="2:26" x14ac:dyDescent="0.25">
      <c r="E46" s="11"/>
      <c r="F46" s="11"/>
      <c r="G46" s="9" t="s">
        <v>56</v>
      </c>
      <c r="H46" s="9"/>
      <c r="I46" s="9" t="s">
        <v>59</v>
      </c>
      <c r="J46" s="9"/>
      <c r="K46" s="9">
        <v>1</v>
      </c>
      <c r="L46" s="9"/>
      <c r="M46" s="9" t="s">
        <v>47</v>
      </c>
      <c r="N46" s="9"/>
      <c r="O46" s="9">
        <v>0</v>
      </c>
      <c r="P46" s="9"/>
      <c r="T46">
        <f>sumColor(E46,T6:T37)</f>
        <v>645</v>
      </c>
      <c r="V46">
        <f>sumColor(E46,V6:V37)</f>
        <v>5500</v>
      </c>
      <c r="W46" s="9">
        <f t="shared" si="5"/>
        <v>235425</v>
      </c>
      <c r="X46" s="9"/>
      <c r="Z46">
        <f>sumColor(E46,Z6:Z37)/7</f>
        <v>0.2857142857142857</v>
      </c>
    </row>
  </sheetData>
  <mergeCells count="30">
    <mergeCell ref="C4:S4"/>
    <mergeCell ref="E43:F43"/>
    <mergeCell ref="E44:F44"/>
    <mergeCell ref="E45:F45"/>
    <mergeCell ref="O43:P43"/>
    <mergeCell ref="D42:X42"/>
    <mergeCell ref="E46:F46"/>
    <mergeCell ref="G43:H43"/>
    <mergeCell ref="I43:J43"/>
    <mergeCell ref="K43:L43"/>
    <mergeCell ref="M43:N43"/>
    <mergeCell ref="G44:H44"/>
    <mergeCell ref="G45:H45"/>
    <mergeCell ref="G46:H46"/>
    <mergeCell ref="I44:J44"/>
    <mergeCell ref="I45:J45"/>
    <mergeCell ref="I46:J46"/>
    <mergeCell ref="K44:L44"/>
    <mergeCell ref="K45:L45"/>
    <mergeCell ref="K46:L46"/>
    <mergeCell ref="M44:N44"/>
    <mergeCell ref="M45:N45"/>
    <mergeCell ref="M46:N46"/>
    <mergeCell ref="O44:P44"/>
    <mergeCell ref="O45:P45"/>
    <mergeCell ref="O46:P46"/>
    <mergeCell ref="W43:X43"/>
    <mergeCell ref="W44:X44"/>
    <mergeCell ref="W45:X45"/>
    <mergeCell ref="W46:X4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riho</dc:creator>
  <cp:lastModifiedBy>riho</cp:lastModifiedBy>
  <dcterms:created xsi:type="dcterms:W3CDTF">2015-04-17T14:28:29Z</dcterms:created>
  <dcterms:modified xsi:type="dcterms:W3CDTF">2015-04-17T22:40:31Z</dcterms:modified>
</cp:coreProperties>
</file>